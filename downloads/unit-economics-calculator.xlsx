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ingle Property" sheetId="2" state="visible" r:id="rId2"/>
    <sheet xmlns:r="http://schemas.openxmlformats.org/officeDocument/2006/relationships" name="Scenario Model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color rgb="001A1A2E"/>
      <sz val="11"/>
    </font>
    <font>
      <name val="Calibri"/>
      <color rgb="00888888"/>
      <sz val="10"/>
    </font>
    <font>
      <name val="Calibri"/>
      <b val="1"/>
      <color rgb="00E94560"/>
      <sz val="11"/>
    </font>
    <font>
      <name val="Calibri"/>
      <b val="1"/>
      <color rgb="001A1A2E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9E6"/>
        <bgColor rgb="00FFF9E6"/>
      </patternFill>
    </fill>
    <fill>
      <patternFill patternType="solid">
        <fgColor rgb="00F5F5F5"/>
        <bgColor rgb="00F5F5F5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2" borderId="1" pivotButton="0" quotePrefix="0" xfId="0"/>
    <xf numFmtId="9" fontId="2" fillId="2" borderId="1" pivotButton="0" quotePrefix="0" xfId="0"/>
    <xf numFmtId="164" fontId="4" fillId="3" borderId="1" pivotButton="0" quotePrefix="0" xfId="0"/>
    <xf numFmtId="0" fontId="5" fillId="0" borderId="0" pivotButton="0" quotePrefix="0" xfId="0"/>
    <xf numFmtId="165" fontId="4" fillId="3" borderId="1" pivotButton="0" quotePrefix="0" xfId="0"/>
    <xf numFmtId="0" fontId="6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PropertyCEO — Unit Economics Calculator</t>
        </is>
      </c>
    </row>
    <row r="3">
      <c r="A3" s="2" t="inlineStr">
        <is>
          <t>1. Go to 'Single Property' sheet — enter one property's details to see per-door economics</t>
        </is>
      </c>
    </row>
    <row r="4">
      <c r="A4" s="2" t="inlineStr">
        <is>
          <t>2. 'Portfolio View' shows aggregated analysis across your whole portfolio</t>
        </is>
      </c>
    </row>
    <row r="5">
      <c r="A5" s="2" t="inlineStr">
        <is>
          <t>3. 'Scenario Modeling' lets you test what-if scenarios</t>
        </is>
      </c>
    </row>
    <row r="6">
      <c r="A6" s="2" t="inlineStr"/>
    </row>
    <row r="7">
      <c r="A7" s="2" t="inlineStr">
        <is>
          <t>YELLOW = Input cells  |  GRAY = Calculated  |  © 2026 PropertyCEO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>
      <c r="A1" s="1" t="inlineStr">
        <is>
          <t>Single Property Economics</t>
        </is>
      </c>
    </row>
    <row r="3">
      <c r="A3" s="2" t="inlineStr">
        <is>
          <t>Revenue Per Door</t>
        </is>
      </c>
      <c r="B3" t="inlineStr"/>
      <c r="C3" s="3" t="inlineStr"/>
    </row>
    <row r="4">
      <c r="A4" s="2" t="inlineStr">
        <is>
          <t>Monthly Rent</t>
        </is>
      </c>
      <c r="B4" s="4" t="n">
        <v>1200</v>
      </c>
      <c r="C4" s="3" t="inlineStr">
        <is>
          <t>Input</t>
        </is>
      </c>
    </row>
    <row r="5">
      <c r="A5" s="2" t="inlineStr">
        <is>
          <t>Management Fee %</t>
        </is>
      </c>
      <c r="B5" s="5" t="n">
        <v>0.1</v>
      </c>
      <c r="C5" s="3" t="inlineStr">
        <is>
          <t>Input</t>
        </is>
      </c>
    </row>
    <row r="6">
      <c r="A6" s="2" t="inlineStr">
        <is>
          <t>Monthly Management Revenue</t>
        </is>
      </c>
      <c r="B6" s="6">
        <f>B4*B5</f>
        <v/>
      </c>
      <c r="C6" s="3" t="inlineStr">
        <is>
          <t>Calculated</t>
        </is>
      </c>
    </row>
    <row r="7">
      <c r="A7" s="2" t="inlineStr">
        <is>
          <t>Annual Management Revenue</t>
        </is>
      </c>
      <c r="B7" s="6">
        <f>B6*12</f>
        <v/>
      </c>
      <c r="C7" s="3" t="inlineStr">
        <is>
          <t>Calculated</t>
        </is>
      </c>
    </row>
    <row r="8">
      <c r="A8" s="2" t="inlineStr">
        <is>
          <t>Est. Annual Leasing Revenue</t>
        </is>
      </c>
      <c r="B8" s="6">
        <f>B4*0.5</f>
        <v/>
      </c>
      <c r="C8" s="3" t="inlineStr">
        <is>
          <t>Assumes 1 turnover/2 yrs</t>
        </is>
      </c>
    </row>
    <row r="9">
      <c r="A9" s="2" t="inlineStr">
        <is>
          <t>Est. Annual Renewal Revenue</t>
        </is>
      </c>
      <c r="B9" s="4" t="n">
        <v>200</v>
      </c>
      <c r="C9" s="3" t="inlineStr">
        <is>
          <t>Input</t>
        </is>
      </c>
    </row>
    <row r="10">
      <c r="A10" s="2" t="inlineStr">
        <is>
          <t>Est. Annual Maint. Markup</t>
        </is>
      </c>
      <c r="B10" s="6">
        <f>B4*0.20*12*0.20</f>
        <v/>
      </c>
      <c r="C10" s="3" t="inlineStr">
        <is>
          <t>20% of 20% maintenance spend</t>
        </is>
      </c>
    </row>
    <row r="11">
      <c r="A11" s="7" t="inlineStr">
        <is>
          <t>TOTAL ANNUAL REVENUE PER DOOR</t>
        </is>
      </c>
      <c r="B11" s="6">
        <f>B7+B8+B9+B10</f>
        <v/>
      </c>
      <c r="C11" s="3" t="inlineStr"/>
    </row>
    <row r="12">
      <c r="A12" s="2" t="inlineStr"/>
      <c r="B12" t="inlineStr"/>
      <c r="C12" s="3" t="inlineStr"/>
    </row>
    <row r="13">
      <c r="A13" s="2" t="inlineStr">
        <is>
          <t>Costs Per Door (allocated)</t>
        </is>
      </c>
      <c r="B13" t="inlineStr"/>
      <c r="C13" s="3" t="inlineStr"/>
    </row>
    <row r="14">
      <c r="A14" s="2" t="inlineStr">
        <is>
          <t>PM Salary Allocation</t>
        </is>
      </c>
      <c r="B14" s="6">
        <f>3500*12/150</f>
        <v/>
      </c>
      <c r="C14" s="3" t="inlineStr">
        <is>
          <t>PM salary / doors</t>
        </is>
      </c>
    </row>
    <row r="15">
      <c r="A15" s="2" t="inlineStr">
        <is>
          <t>Admin Allocation</t>
        </is>
      </c>
      <c r="B15" s="6">
        <f>3000*12/150</f>
        <v/>
      </c>
      <c r="C15" s="3" t="inlineStr">
        <is>
          <t>Admin salary / doors</t>
        </is>
      </c>
    </row>
    <row r="16">
      <c r="A16" s="2" t="inlineStr">
        <is>
          <t>Software Cost Per Door</t>
        </is>
      </c>
      <c r="B16" s="6">
        <f>450*12/150</f>
        <v/>
      </c>
      <c r="C16" s="3" t="inlineStr">
        <is>
          <t>Annual SW / doors</t>
        </is>
      </c>
    </row>
    <row r="17">
      <c r="A17" s="2" t="inlineStr">
        <is>
          <t>Insurance Per Door</t>
        </is>
      </c>
      <c r="B17" s="6">
        <f>750*12/150</f>
        <v/>
      </c>
      <c r="C17" s="3" t="inlineStr">
        <is>
          <t>Annual ins / doors</t>
        </is>
      </c>
    </row>
    <row r="18">
      <c r="A18" s="2" t="inlineStr">
        <is>
          <t>Office Cost Per Door</t>
        </is>
      </c>
      <c r="B18" s="6">
        <f>2100*12/150</f>
        <v/>
      </c>
      <c r="C18" s="3" t="inlineStr">
        <is>
          <t>Annual office / doors</t>
        </is>
      </c>
    </row>
    <row r="19">
      <c r="A19" s="2" t="inlineStr">
        <is>
          <t>Marketing Cost Per Door</t>
        </is>
      </c>
      <c r="B19" s="6">
        <f>2300*12/150</f>
        <v/>
      </c>
      <c r="C19" s="3" t="inlineStr">
        <is>
          <t>Annual mktg / doors</t>
        </is>
      </c>
    </row>
    <row r="20">
      <c r="A20" s="7" t="inlineStr">
        <is>
          <t>TOTAL ANNUAL COST PER DOOR</t>
        </is>
      </c>
      <c r="B20" s="6">
        <f>SUM(B14:B19)</f>
        <v/>
      </c>
      <c r="C20" s="3" t="inlineStr"/>
    </row>
    <row r="21">
      <c r="A21" s="2" t="inlineStr"/>
      <c r="B21" t="inlineStr"/>
      <c r="C21" s="3" t="inlineStr"/>
    </row>
    <row r="22">
      <c r="A22" s="2" t="inlineStr">
        <is>
          <t>NET PROFIT PER DOOR (Annual)</t>
        </is>
      </c>
      <c r="B22" s="6">
        <f>B11-B20</f>
        <v/>
      </c>
      <c r="C22" s="3" t="inlineStr"/>
    </row>
    <row r="23">
      <c r="A23" s="2" t="inlineStr">
        <is>
          <t>NET PROFIT PER DOOR (Monthly)</t>
        </is>
      </c>
      <c r="B23" s="6">
        <f>B22/12</f>
        <v/>
      </c>
      <c r="C23" s="3" t="inlineStr"/>
    </row>
    <row r="24">
      <c r="A24" s="7" t="inlineStr">
        <is>
          <t>PROFIT MARGIN PER DOOR</t>
        </is>
      </c>
      <c r="B24" s="8">
        <f>B22/B11</f>
        <v/>
      </c>
      <c r="C2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</cols>
  <sheetData>
    <row r="1">
      <c r="A1" s="1" t="inlineStr">
        <is>
          <t>What-If Scenario Modeling</t>
        </is>
      </c>
    </row>
    <row r="3">
      <c r="A3" s="9" t="inlineStr">
        <is>
          <t>Scenario</t>
        </is>
      </c>
      <c r="B3" s="9" t="inlineStr">
        <is>
          <t>Change</t>
        </is>
      </c>
      <c r="C3" s="9" t="inlineStr">
        <is>
          <t>Impact on Annual Profit</t>
        </is>
      </c>
    </row>
    <row r="4">
      <c r="A4" s="2" t="inlineStr">
        <is>
          <t>Raise fees by 1%</t>
        </is>
      </c>
      <c r="B4" s="2" t="inlineStr">
        <is>
          <t>+1% mgmt fee</t>
        </is>
      </c>
      <c r="C4" s="6">
        <f>150*1200*0.01*12</f>
        <v/>
      </c>
    </row>
    <row r="5">
      <c r="A5" s="2" t="inlineStr">
        <is>
          <t>Add 25 doors</t>
        </is>
      </c>
      <c r="B5" s="2" t="inlineStr">
        <is>
          <t>+25 doors</t>
        </is>
      </c>
      <c r="C5" s="6">
        <f>'Single Property'!B22*25</f>
        <v/>
      </c>
    </row>
    <row r="6">
      <c r="A6" s="2" t="inlineStr">
        <is>
          <t>Hire new staff member</t>
        </is>
      </c>
      <c r="B6" s="2" t="inlineStr">
        <is>
          <t>+$3,500/mo salary</t>
        </is>
      </c>
      <c r="C6" s="6">
        <f>-3500*12</f>
        <v/>
      </c>
    </row>
    <row r="7">
      <c r="A7" s="2" t="inlineStr">
        <is>
          <t>Reduce turnover by 10%</t>
        </is>
      </c>
      <c r="B7" s="2" t="inlineStr">
        <is>
          <t>-10% turnover</t>
        </is>
      </c>
      <c r="C7" s="6">
        <f>150*1200*0.5*0.10</f>
        <v/>
      </c>
    </row>
    <row r="8">
      <c r="A8" s="2" t="inlineStr">
        <is>
          <t>Raise avg rent by 5%</t>
        </is>
      </c>
      <c r="B8" s="2" t="inlineStr">
        <is>
          <t>+5% avg rent</t>
        </is>
      </c>
      <c r="C8" s="6">
        <f>150*60*0.05*12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2026-03-11T08:37:24Z</dcterms:created>
  <dcterms:modified xmlns:dcterms="http://purl.org/dc/terms/" xmlns:xsi="http://www.w3.org/2001/XMLSchema-instance" xsi:type="dcterms:W3CDTF">2026-03-11T08:37:24Z</dcterms:modified>
</cp:coreProperties>
</file>