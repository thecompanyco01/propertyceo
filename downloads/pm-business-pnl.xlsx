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venue Model" sheetId="2" state="visible" r:id="rId2"/>
    <sheet xmlns:r="http://schemas.openxmlformats.org/officeDocument/2006/relationships" name="Expense Model" sheetId="3" state="visible" r:id="rId3"/>
    <sheet xmlns:r="http://schemas.openxmlformats.org/officeDocument/2006/relationships" name="12-Month Projection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1A1A2E"/>
      <sz val="16"/>
    </font>
    <font>
      <name val="Calibri"/>
      <b val="1"/>
      <color rgb="00E94560"/>
      <sz val="13"/>
    </font>
    <font>
      <name val="Calibri"/>
      <color rgb="001A1A2E"/>
      <sz val="11"/>
    </font>
    <font>
      <name val="Calibri"/>
      <b val="1"/>
      <color rgb="001A1A2E"/>
      <sz val="11"/>
    </font>
    <font>
      <name val="Calibri"/>
      <color rgb="00888888"/>
      <sz val="10"/>
    </font>
    <font>
      <name val="Calibri"/>
      <b val="1"/>
      <color rgb="00FFFFFF"/>
      <sz val="11"/>
    </font>
    <font>
      <name val="Calibri"/>
      <b val="1"/>
      <color rgb="00E94560"/>
      <sz val="11"/>
    </font>
    <font>
      <name val="Calibri"/>
      <b val="1"/>
      <color rgb="00E94560"/>
      <sz val="12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9E6"/>
        <bgColor rgb="00FFF9E6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2" borderId="0" applyAlignment="1" pivotButton="0" quotePrefix="0" xfId="0">
      <alignment horizontal="center" wrapText="1"/>
    </xf>
    <xf numFmtId="0" fontId="4" fillId="0" borderId="0" pivotButton="0" quotePrefix="0" xfId="0"/>
    <xf numFmtId="3" fontId="3" fillId="3" borderId="1" pivotButton="0" quotePrefix="0" xfId="0"/>
    <xf numFmtId="0" fontId="5" fillId="0" borderId="0" pivotButton="0" quotePrefix="0" xfId="0"/>
    <xf numFmtId="164" fontId="3" fillId="3" borderId="1" pivotButton="0" quotePrefix="0" xfId="0"/>
    <xf numFmtId="9" fontId="3" fillId="3" borderId="1" pivotButton="0" quotePrefix="0" xfId="0"/>
    <xf numFmtId="164" fontId="7" fillId="4" borderId="1" pivotButton="0" quotePrefix="0" xfId="0"/>
    <xf numFmtId="0" fontId="3" fillId="3" borderId="1" pivotButton="0" quotePrefix="0" xfId="0"/>
    <xf numFmtId="0" fontId="8" fillId="0" borderId="0" pivotButton="0" quotePrefix="0" xfId="0"/>
    <xf numFmtId="165" fontId="3" fillId="3" borderId="1" pivotButton="0" quotePrefix="0" xfId="0"/>
    <xf numFmtId="3" fontId="7" fillId="4" borderId="1" pivotButton="0" quotePrefix="0" xfId="0"/>
    <xf numFmtId="165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PropertyCEO — PM Business P&amp;L Model</t>
        </is>
      </c>
    </row>
    <row r="3">
      <c r="A3" s="2" t="inlineStr">
        <is>
          <t>How to Use This Spreadsheet</t>
        </is>
      </c>
    </row>
    <row r="5">
      <c r="A5" s="3" t="inlineStr">
        <is>
          <t>1. Start on the 'Revenue Model' sheet — enter your current numbers in the YELLOW cells</t>
        </is>
      </c>
    </row>
    <row r="6">
      <c r="A6" s="3" t="inlineStr">
        <is>
          <t>2. Move to the 'Expense Model' sheet — enter your monthly expenses</t>
        </is>
      </c>
    </row>
    <row r="7">
      <c r="A7" s="3" t="inlineStr">
        <is>
          <t>3. The '12-Month Projection' automatically calculates based on your inputs</t>
        </is>
      </c>
    </row>
    <row r="8">
      <c r="A8" s="3" t="inlineStr">
        <is>
          <t>4. The '3-Year Growth' sheet lets you model long-term scaling scenarios</t>
        </is>
      </c>
    </row>
    <row r="9">
      <c r="A9" s="3" t="inlineStr">
        <is>
          <t>5. The 'Dashboard' sheet shows your key metrics at a glance</t>
        </is>
      </c>
    </row>
    <row r="10">
      <c r="A10" s="3" t="inlineStr"/>
    </row>
    <row r="11">
      <c r="A11" s="3" t="inlineStr">
        <is>
          <t>YELLOW cells = Input (edit these)</t>
        </is>
      </c>
    </row>
    <row r="12">
      <c r="A12" s="3" t="inlineStr">
        <is>
          <t>GRAY cells = Calculated (don't edit)</t>
        </is>
      </c>
    </row>
    <row r="13">
      <c r="A13" s="3" t="inlineStr"/>
    </row>
    <row r="14">
      <c r="A14" s="3" t="inlineStr">
        <is>
          <t>© 2026 PropertyCEO. All rights reserved.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30" customWidth="1" min="4" max="4"/>
  </cols>
  <sheetData>
    <row r="1">
      <c r="A1" s="1" t="inlineStr">
        <is>
          <t>Revenue Model</t>
        </is>
      </c>
    </row>
    <row r="2">
      <c r="A2" s="4" t="inlineStr"/>
      <c r="B2" s="4" t="inlineStr">
        <is>
          <t>Description</t>
        </is>
      </c>
      <c r="C2" s="4" t="inlineStr">
        <is>
          <t>Value</t>
        </is>
      </c>
      <c r="D2" s="4" t="inlineStr">
        <is>
          <t>Formula</t>
        </is>
      </c>
    </row>
    <row r="3">
      <c r="A3" s="5" t="inlineStr">
        <is>
          <t>A</t>
        </is>
      </c>
      <c r="B3" s="3" t="inlineStr">
        <is>
          <t>Number of Doors Managed</t>
        </is>
      </c>
      <c r="C3" s="6" t="n">
        <v>150</v>
      </c>
      <c r="D3" s="7" t="inlineStr">
        <is>
          <t>Input</t>
        </is>
      </c>
    </row>
    <row r="4">
      <c r="A4" s="5" t="inlineStr">
        <is>
          <t>B</t>
        </is>
      </c>
      <c r="B4" s="3" t="inlineStr">
        <is>
          <t>Average Rent Per Door</t>
        </is>
      </c>
      <c r="C4" s="8" t="n">
        <v>1200</v>
      </c>
      <c r="D4" s="7" t="inlineStr">
        <is>
          <t>Input</t>
        </is>
      </c>
    </row>
    <row r="5">
      <c r="A5" s="5" t="inlineStr">
        <is>
          <t>C</t>
        </is>
      </c>
      <c r="B5" s="3" t="inlineStr">
        <is>
          <t>Management Fee %</t>
        </is>
      </c>
      <c r="C5" s="9" t="n">
        <v>0.1</v>
      </c>
      <c r="D5" s="7" t="inlineStr">
        <is>
          <t>Input</t>
        </is>
      </c>
    </row>
    <row r="6">
      <c r="A6" s="5" t="inlineStr">
        <is>
          <t>D</t>
        </is>
      </c>
      <c r="B6" s="3" t="inlineStr">
        <is>
          <t>Monthly Management Revenue</t>
        </is>
      </c>
      <c r="C6" s="10">
        <f>C3*C4*C5</f>
        <v/>
      </c>
      <c r="D6" s="7">
        <f> A × B × C</f>
        <v/>
      </c>
    </row>
    <row r="7">
      <c r="A7" s="5" t="inlineStr">
        <is>
          <t>E</t>
        </is>
      </c>
      <c r="B7" s="3" t="inlineStr">
        <is>
          <t>New Doors Onboarded (monthly)</t>
        </is>
      </c>
      <c r="C7" s="11" t="n">
        <v>5</v>
      </c>
      <c r="D7" s="7" t="inlineStr">
        <is>
          <t>Input</t>
        </is>
      </c>
    </row>
    <row r="8">
      <c r="A8" s="5" t="inlineStr">
        <is>
          <t>F</t>
        </is>
      </c>
      <c r="B8" s="3" t="inlineStr">
        <is>
          <t>Leasing Fee %</t>
        </is>
      </c>
      <c r="C8" s="9" t="n">
        <v>0.5</v>
      </c>
      <c r="D8" s="7" t="inlineStr">
        <is>
          <t>Input (% of first month rent)</t>
        </is>
      </c>
    </row>
    <row r="9">
      <c r="A9" s="5" t="inlineStr">
        <is>
          <t>G</t>
        </is>
      </c>
      <c r="B9" s="3" t="inlineStr">
        <is>
          <t>Average Lease-Ups Per Month</t>
        </is>
      </c>
      <c r="C9" s="11" t="n">
        <v>8</v>
      </c>
      <c r="D9" s="7" t="inlineStr">
        <is>
          <t>Input</t>
        </is>
      </c>
    </row>
    <row r="10">
      <c r="A10" s="5" t="inlineStr">
        <is>
          <t>H</t>
        </is>
      </c>
      <c r="B10" s="3" t="inlineStr">
        <is>
          <t>Monthly Leasing Revenue</t>
        </is>
      </c>
      <c r="C10" s="10">
        <f>C10*C4*C9</f>
        <v/>
      </c>
      <c r="D10" s="7">
        <f> G × B × F</f>
        <v/>
      </c>
    </row>
    <row r="11">
      <c r="A11" s="5" t="inlineStr">
        <is>
          <t>I</t>
        </is>
      </c>
      <c r="B11" s="3" t="inlineStr">
        <is>
          <t>Lease Renewal Fee</t>
        </is>
      </c>
      <c r="C11" s="8" t="n">
        <v>200</v>
      </c>
      <c r="D11" s="7" t="inlineStr">
        <is>
          <t>Input</t>
        </is>
      </c>
    </row>
    <row r="12">
      <c r="A12" s="5" t="inlineStr">
        <is>
          <t>J</t>
        </is>
      </c>
      <c r="B12" s="3" t="inlineStr">
        <is>
          <t>Renewals Per Month</t>
        </is>
      </c>
      <c r="C12" s="11" t="n">
        <v>6</v>
      </c>
      <c r="D12" s="7" t="inlineStr">
        <is>
          <t>Input</t>
        </is>
      </c>
    </row>
    <row r="13">
      <c r="A13" s="5" t="inlineStr">
        <is>
          <t>K</t>
        </is>
      </c>
      <c r="B13" s="3" t="inlineStr">
        <is>
          <t>Monthly Renewal Revenue</t>
        </is>
      </c>
      <c r="C13" s="10">
        <f>C12*C13</f>
        <v/>
      </c>
      <c r="D13" s="7">
        <f> I × J</f>
        <v/>
      </c>
    </row>
    <row r="14">
      <c r="A14" s="5" t="inlineStr">
        <is>
          <t>L</t>
        </is>
      </c>
      <c r="B14" s="3" t="inlineStr">
        <is>
          <t>Maintenance Markup %</t>
        </is>
      </c>
      <c r="C14" s="9" t="n">
        <v>0.2</v>
      </c>
      <c r="D14" s="7" t="inlineStr">
        <is>
          <t>Input</t>
        </is>
      </c>
    </row>
    <row r="15">
      <c r="A15" s="5" t="inlineStr">
        <is>
          <t>M</t>
        </is>
      </c>
      <c r="B15" s="3" t="inlineStr">
        <is>
          <t>Avg Maintenance Spend/Door</t>
        </is>
      </c>
      <c r="C15" s="11" t="n">
        <v>50</v>
      </c>
      <c r="D15" s="7" t="inlineStr">
        <is>
          <t>Input</t>
        </is>
      </c>
    </row>
    <row r="16">
      <c r="A16" s="5" t="inlineStr">
        <is>
          <t>N</t>
        </is>
      </c>
      <c r="B16" s="3" t="inlineStr">
        <is>
          <t>Monthly Maintenance Revenue</t>
        </is>
      </c>
      <c r="C16" s="10">
        <f>C3*C17*C16</f>
        <v/>
      </c>
      <c r="D16" s="7">
        <f> A × M × L</f>
        <v/>
      </c>
    </row>
    <row r="17">
      <c r="A17" s="5" t="inlineStr">
        <is>
          <t>O</t>
        </is>
      </c>
      <c r="B17" s="3" t="inlineStr">
        <is>
          <t>Other Revenue (late fees, etc.)</t>
        </is>
      </c>
      <c r="C17" s="8" t="n">
        <v>800</v>
      </c>
      <c r="D17" s="7" t="inlineStr">
        <is>
          <t>Input</t>
        </is>
      </c>
    </row>
    <row r="18">
      <c r="A18" s="5" t="inlineStr">
        <is>
          <t>P</t>
        </is>
      </c>
      <c r="B18" s="3" t="inlineStr">
        <is>
          <t>TOTAL MONTHLY REVENUE</t>
        </is>
      </c>
      <c r="C18" s="10">
        <f>C7+C11+C14+C18+C19</f>
        <v/>
      </c>
      <c r="D18" s="7" t="inlineStr">
        <is>
          <t>Sum of all revenue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8" customWidth="1" min="3" max="3"/>
  </cols>
  <sheetData>
    <row r="1">
      <c r="A1" s="1" t="inlineStr">
        <is>
          <t>Monthly Expense Model</t>
        </is>
      </c>
    </row>
    <row r="3">
      <c r="A3" s="4" t="inlineStr">
        <is>
          <t>Category</t>
        </is>
      </c>
      <c r="B3" s="4" t="inlineStr">
        <is>
          <t>Line Item</t>
        </is>
      </c>
      <c r="C3" s="4" t="inlineStr">
        <is>
          <t>Monthly Cost</t>
        </is>
      </c>
    </row>
    <row r="4">
      <c r="A4" s="5" t="inlineStr">
        <is>
          <t>Payroll</t>
        </is>
      </c>
      <c r="B4" s="3" t="inlineStr">
        <is>
          <t>Property Managers (2)</t>
        </is>
      </c>
      <c r="C4" s="8" t="n">
        <v>8000</v>
      </c>
    </row>
    <row r="5">
      <c r="A5" s="5" t="inlineStr">
        <is>
          <t>Payroll</t>
        </is>
      </c>
      <c r="B5" s="3" t="inlineStr">
        <is>
          <t>Admin/Office Manager</t>
        </is>
      </c>
      <c r="C5" s="8" t="n">
        <v>3500</v>
      </c>
    </row>
    <row r="6">
      <c r="A6" s="5" t="inlineStr">
        <is>
          <t>Payroll</t>
        </is>
      </c>
      <c r="B6" s="3" t="inlineStr">
        <is>
          <t>Maintenance Coordinator</t>
        </is>
      </c>
      <c r="C6" s="8" t="n">
        <v>3200</v>
      </c>
    </row>
    <row r="7">
      <c r="A7" s="5" t="inlineStr">
        <is>
          <t>Payroll</t>
        </is>
      </c>
      <c r="B7" s="3" t="inlineStr">
        <is>
          <t>Leasing Agent</t>
        </is>
      </c>
      <c r="C7" s="8" t="n">
        <v>3000</v>
      </c>
    </row>
    <row r="8">
      <c r="A8" s="5" t="inlineStr">
        <is>
          <t>Payroll</t>
        </is>
      </c>
      <c r="B8" s="3" t="inlineStr">
        <is>
          <t>Payroll Taxes &amp; Benefits (25%)</t>
        </is>
      </c>
      <c r="C8" s="10">
        <f>SUM(C4:C7)*0.25</f>
        <v/>
      </c>
    </row>
    <row r="9">
      <c r="A9" s="5" t="inlineStr">
        <is>
          <t>Office</t>
        </is>
      </c>
      <c r="B9" s="3" t="inlineStr">
        <is>
          <t>Rent</t>
        </is>
      </c>
      <c r="C9" s="8" t="n">
        <v>1500</v>
      </c>
    </row>
    <row r="10">
      <c r="A10" s="5" t="inlineStr">
        <is>
          <t>Office</t>
        </is>
      </c>
      <c r="B10" s="3" t="inlineStr">
        <is>
          <t>Utilities &amp; Internet</t>
        </is>
      </c>
      <c r="C10" s="8" t="n">
        <v>400</v>
      </c>
    </row>
    <row r="11">
      <c r="A11" s="5" t="inlineStr">
        <is>
          <t>Office</t>
        </is>
      </c>
      <c r="B11" s="3" t="inlineStr">
        <is>
          <t>Supplies</t>
        </is>
      </c>
      <c r="C11" s="8" t="n">
        <v>200</v>
      </c>
    </row>
    <row r="12">
      <c r="A12" s="5" t="inlineStr">
        <is>
          <t>Technology</t>
        </is>
      </c>
      <c r="B12" s="3" t="inlineStr">
        <is>
          <t>PM Software (AppFolio/Buildium)</t>
        </is>
      </c>
      <c r="C12" s="8" t="n">
        <v>450</v>
      </c>
    </row>
    <row r="13">
      <c r="A13" s="5" t="inlineStr">
        <is>
          <t>Technology</t>
        </is>
      </c>
      <c r="B13" s="3" t="inlineStr">
        <is>
          <t>Accounting Software</t>
        </is>
      </c>
      <c r="C13" s="8" t="n">
        <v>80</v>
      </c>
    </row>
    <row r="14">
      <c r="A14" s="5" t="inlineStr">
        <is>
          <t>Technology</t>
        </is>
      </c>
      <c r="B14" s="3" t="inlineStr">
        <is>
          <t>CRM &amp; Marketing Tools</t>
        </is>
      </c>
      <c r="C14" s="8" t="n">
        <v>200</v>
      </c>
    </row>
    <row r="15">
      <c r="A15" s="5" t="inlineStr">
        <is>
          <t>Insurance</t>
        </is>
      </c>
      <c r="B15" s="3" t="inlineStr">
        <is>
          <t>E&amp;O Insurance</t>
        </is>
      </c>
      <c r="C15" s="8" t="n">
        <v>250</v>
      </c>
    </row>
    <row r="16">
      <c r="A16" s="5" t="inlineStr">
        <is>
          <t>Insurance</t>
        </is>
      </c>
      <c r="B16" s="3" t="inlineStr">
        <is>
          <t>General Liability</t>
        </is>
      </c>
      <c r="C16" s="8" t="n">
        <v>300</v>
      </c>
    </row>
    <row r="17">
      <c r="A17" s="5" t="inlineStr">
        <is>
          <t>Insurance</t>
        </is>
      </c>
      <c r="B17" s="3" t="inlineStr">
        <is>
          <t>Workers Comp</t>
        </is>
      </c>
      <c r="C17" s="8" t="n">
        <v>200</v>
      </c>
    </row>
    <row r="18">
      <c r="A18" s="5" t="inlineStr">
        <is>
          <t>Marketing</t>
        </is>
      </c>
      <c r="B18" s="3" t="inlineStr">
        <is>
          <t>Digital Ads (Google/Facebook)</t>
        </is>
      </c>
      <c r="C18" s="8" t="n">
        <v>1500</v>
      </c>
    </row>
    <row r="19">
      <c r="A19" s="5" t="inlineStr">
        <is>
          <t>Marketing</t>
        </is>
      </c>
      <c r="B19" s="3" t="inlineStr">
        <is>
          <t>SEO &amp; Content</t>
        </is>
      </c>
      <c r="C19" s="8" t="n">
        <v>500</v>
      </c>
    </row>
    <row r="20">
      <c r="A20" s="5" t="inlineStr">
        <is>
          <t>Marketing</t>
        </is>
      </c>
      <c r="B20" s="3" t="inlineStr">
        <is>
          <t>Direct Mail &amp; Events</t>
        </is>
      </c>
      <c r="C20" s="8" t="n">
        <v>300</v>
      </c>
    </row>
    <row r="21">
      <c r="A21" s="5" t="inlineStr">
        <is>
          <t>Vehicle</t>
        </is>
      </c>
      <c r="B21" s="3" t="inlineStr">
        <is>
          <t>Mileage &amp; Fuel</t>
        </is>
      </c>
      <c r="C21" s="8" t="n">
        <v>600</v>
      </c>
    </row>
    <row r="22">
      <c r="A22" s="5" t="inlineStr">
        <is>
          <t>Professional</t>
        </is>
      </c>
      <c r="B22" s="3" t="inlineStr">
        <is>
          <t>Legal &amp; Accounting</t>
        </is>
      </c>
      <c r="C22" s="8" t="n">
        <v>500</v>
      </c>
    </row>
    <row r="23">
      <c r="A23" s="5" t="inlineStr">
        <is>
          <t>Professional</t>
        </is>
      </c>
      <c r="B23" s="3" t="inlineStr">
        <is>
          <t>NARPM Dues &amp; Training</t>
        </is>
      </c>
      <c r="C23" s="8" t="n">
        <v>100</v>
      </c>
    </row>
    <row r="24">
      <c r="A24" s="5" t="inlineStr">
        <is>
          <t>Misc</t>
        </is>
      </c>
      <c r="B24" s="3" t="inlineStr">
        <is>
          <t>5% Buffer</t>
        </is>
      </c>
      <c r="C24" s="10">
        <f>SUM(C4:C23)*0.05</f>
        <v/>
      </c>
    </row>
    <row r="25">
      <c r="A25" s="5" t="inlineStr"/>
      <c r="B25" s="3" t="inlineStr">
        <is>
          <t>TOTAL MONTHLY EXPENSES</t>
        </is>
      </c>
      <c r="C25" s="10">
        <f>SUM(C4:C24)</f>
        <v/>
      </c>
    </row>
    <row r="27">
      <c r="B27" s="12" t="inlineStr">
        <is>
          <t>NET MONTHLY PROFIT</t>
        </is>
      </c>
      <c r="C27" s="10">
        <f>'Revenue Model'!C20-C25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12-Month Revenue &amp; Profit Projection</t>
        </is>
      </c>
    </row>
    <row r="3">
      <c r="A3" s="4" t="inlineStr">
        <is>
          <t>Metric</t>
        </is>
      </c>
      <c r="B3" s="4" t="inlineStr">
        <is>
          <t>Jan</t>
        </is>
      </c>
      <c r="C3" s="4" t="inlineStr">
        <is>
          <t>Feb</t>
        </is>
      </c>
      <c r="D3" s="4" t="inlineStr">
        <is>
          <t>Mar</t>
        </is>
      </c>
      <c r="E3" s="4" t="inlineStr">
        <is>
          <t>Apr</t>
        </is>
      </c>
      <c r="F3" s="4" t="inlineStr">
        <is>
          <t>May</t>
        </is>
      </c>
      <c r="G3" s="4" t="inlineStr">
        <is>
          <t>Jun</t>
        </is>
      </c>
      <c r="H3" s="4" t="inlineStr">
        <is>
          <t>Jul</t>
        </is>
      </c>
      <c r="I3" s="4" t="inlineStr">
        <is>
          <t>Aug</t>
        </is>
      </c>
      <c r="J3" s="4" t="inlineStr">
        <is>
          <t>Sep</t>
        </is>
      </c>
      <c r="K3" s="4" t="inlineStr">
        <is>
          <t>Oct</t>
        </is>
      </c>
      <c r="L3" s="4" t="inlineStr">
        <is>
          <t>Nov</t>
        </is>
      </c>
      <c r="M3" s="4" t="inlineStr">
        <is>
          <t>Dec</t>
        </is>
      </c>
    </row>
    <row r="4">
      <c r="A4" s="3" t="inlineStr">
        <is>
          <t>Starting Doors</t>
        </is>
      </c>
      <c r="B4" s="11" t="n">
        <v>150</v>
      </c>
      <c r="C4" s="11" t="n">
        <v>155</v>
      </c>
      <c r="D4" s="11" t="n">
        <v>161</v>
      </c>
      <c r="E4" s="11" t="n">
        <v>167</v>
      </c>
      <c r="F4" s="11" t="n">
        <v>174</v>
      </c>
      <c r="G4" s="11" t="n">
        <v>181</v>
      </c>
      <c r="H4" s="11" t="n">
        <v>189</v>
      </c>
      <c r="I4" s="11" t="n">
        <v>197</v>
      </c>
      <c r="J4" s="11" t="n">
        <v>206</v>
      </c>
      <c r="K4" s="11" t="n">
        <v>215</v>
      </c>
      <c r="L4" s="11" t="n">
        <v>225</v>
      </c>
      <c r="M4" s="11" t="n">
        <v>235</v>
      </c>
    </row>
    <row r="5">
      <c r="A5" s="3" t="inlineStr">
        <is>
          <t>New Doors Added</t>
        </is>
      </c>
      <c r="B5" s="11" t="n">
        <v>6</v>
      </c>
      <c r="C5" s="11" t="n">
        <v>6</v>
      </c>
      <c r="D5" s="11" t="n">
        <v>6</v>
      </c>
      <c r="E5" s="11" t="n">
        <v>7</v>
      </c>
      <c r="F5" s="11" t="n">
        <v>7</v>
      </c>
      <c r="G5" s="11" t="n">
        <v>7</v>
      </c>
      <c r="H5" s="11" t="n">
        <v>8</v>
      </c>
      <c r="I5" s="11" t="n">
        <v>8</v>
      </c>
      <c r="J5" s="11" t="n">
        <v>8</v>
      </c>
      <c r="K5" s="11" t="n">
        <v>9</v>
      </c>
      <c r="L5" s="11" t="n">
        <v>9</v>
      </c>
      <c r="M5" s="11" t="n">
        <v>9</v>
      </c>
    </row>
    <row r="6">
      <c r="A6" s="3" t="inlineStr">
        <is>
          <t>Doors Lost</t>
        </is>
      </c>
      <c r="B6" s="11" t="n">
        <v>1</v>
      </c>
      <c r="C6" s="11" t="n">
        <v>1</v>
      </c>
      <c r="D6" s="11" t="n">
        <v>1</v>
      </c>
      <c r="E6" s="11" t="n">
        <v>1</v>
      </c>
      <c r="F6" s="11" t="n">
        <v>2</v>
      </c>
      <c r="G6" s="11" t="n">
        <v>2</v>
      </c>
      <c r="H6" s="11" t="n">
        <v>2</v>
      </c>
      <c r="I6" s="11" t="n">
        <v>2</v>
      </c>
      <c r="J6" s="11" t="n">
        <v>3</v>
      </c>
      <c r="K6" s="11" t="n">
        <v>3</v>
      </c>
      <c r="L6" s="11" t="n">
        <v>3</v>
      </c>
      <c r="M6" s="11" t="n">
        <v>3</v>
      </c>
    </row>
    <row r="7">
      <c r="A7" s="3" t="inlineStr">
        <is>
          <t>Ending Doors</t>
        </is>
      </c>
      <c r="B7" s="11" t="n">
        <v>155</v>
      </c>
      <c r="C7" s="11" t="n">
        <v>160</v>
      </c>
      <c r="D7" s="11" t="n">
        <v>166</v>
      </c>
      <c r="E7" s="11" t="n">
        <v>173</v>
      </c>
      <c r="F7" s="11" t="n">
        <v>179</v>
      </c>
      <c r="G7" s="11" t="n">
        <v>186</v>
      </c>
      <c r="H7" s="11" t="n">
        <v>195</v>
      </c>
      <c r="I7" s="11" t="n">
        <v>203</v>
      </c>
      <c r="J7" s="11" t="n">
        <v>211</v>
      </c>
      <c r="K7" s="11" t="n">
        <v>221</v>
      </c>
      <c r="L7" s="11" t="n">
        <v>231</v>
      </c>
      <c r="M7" s="11" t="n">
        <v>241</v>
      </c>
    </row>
    <row r="8">
      <c r="A8" s="3" t="inlineStr"/>
    </row>
    <row r="9">
      <c r="A9" s="3" t="inlineStr">
        <is>
          <t>Management Revenue</t>
        </is>
      </c>
      <c r="B9" s="8" t="n">
        <v>18000</v>
      </c>
      <c r="C9" s="8" t="n">
        <v>18600</v>
      </c>
      <c r="D9" s="8" t="n">
        <v>19320</v>
      </c>
      <c r="E9" s="8" t="n">
        <v>20040</v>
      </c>
      <c r="F9" s="8" t="n">
        <v>20880</v>
      </c>
      <c r="G9" s="8" t="n">
        <v>21720</v>
      </c>
      <c r="H9" s="8" t="n">
        <v>22680</v>
      </c>
      <c r="I9" s="8" t="n">
        <v>23640</v>
      </c>
      <c r="J9" s="8" t="n">
        <v>24720</v>
      </c>
      <c r="K9" s="8" t="n">
        <v>25800</v>
      </c>
      <c r="L9" s="8" t="n">
        <v>27000</v>
      </c>
      <c r="M9" s="8" t="n">
        <v>28200</v>
      </c>
    </row>
    <row r="10">
      <c r="A10" s="3" t="inlineStr">
        <is>
          <t>Leasing Revenue</t>
        </is>
      </c>
      <c r="B10" s="8" t="n">
        <v>4800</v>
      </c>
      <c r="C10" s="8" t="n">
        <v>4800</v>
      </c>
      <c r="D10" s="8" t="n">
        <v>4800</v>
      </c>
      <c r="E10" s="8" t="n">
        <v>4800</v>
      </c>
      <c r="F10" s="8" t="n">
        <v>4800</v>
      </c>
      <c r="G10" s="8" t="n">
        <v>4800</v>
      </c>
      <c r="H10" s="8" t="n">
        <v>4800</v>
      </c>
      <c r="I10" s="8" t="n">
        <v>4800</v>
      </c>
      <c r="J10" s="8" t="n">
        <v>4800</v>
      </c>
      <c r="K10" s="8" t="n">
        <v>4800</v>
      </c>
      <c r="L10" s="8" t="n">
        <v>4800</v>
      </c>
      <c r="M10" s="8" t="n">
        <v>4800</v>
      </c>
    </row>
    <row r="11">
      <c r="A11" s="3" t="inlineStr">
        <is>
          <t>Renewal Revenue</t>
        </is>
      </c>
      <c r="B11" s="8" t="n">
        <v>1200</v>
      </c>
      <c r="C11" s="8" t="n">
        <v>1200</v>
      </c>
      <c r="D11" s="8" t="n">
        <v>1200</v>
      </c>
      <c r="E11" s="8" t="n">
        <v>1200</v>
      </c>
      <c r="F11" s="8" t="n">
        <v>1200</v>
      </c>
      <c r="G11" s="8" t="n">
        <v>1200</v>
      </c>
      <c r="H11" s="8" t="n">
        <v>1200</v>
      </c>
      <c r="I11" s="8" t="n">
        <v>1200</v>
      </c>
      <c r="J11" s="8" t="n">
        <v>1200</v>
      </c>
      <c r="K11" s="8" t="n">
        <v>1200</v>
      </c>
      <c r="L11" s="8" t="n">
        <v>1200</v>
      </c>
      <c r="M11" s="8" t="n">
        <v>1200</v>
      </c>
    </row>
    <row r="12">
      <c r="A12" s="3" t="inlineStr">
        <is>
          <t>Maintenance Revenue</t>
        </is>
      </c>
      <c r="B12" s="8" t="n">
        <v>1500</v>
      </c>
      <c r="C12" s="8" t="n">
        <v>1550</v>
      </c>
      <c r="D12" s="8" t="n">
        <v>1610</v>
      </c>
      <c r="E12" s="8" t="n">
        <v>1670</v>
      </c>
      <c r="F12" s="8" t="n">
        <v>1740</v>
      </c>
      <c r="G12" s="8" t="n">
        <v>1810</v>
      </c>
      <c r="H12" s="8" t="n">
        <v>1890</v>
      </c>
      <c r="I12" s="8" t="n">
        <v>1970</v>
      </c>
      <c r="J12" s="8" t="n">
        <v>2060</v>
      </c>
      <c r="K12" s="8" t="n">
        <v>2150</v>
      </c>
      <c r="L12" s="8" t="n">
        <v>2250</v>
      </c>
      <c r="M12" s="8" t="n">
        <v>2350</v>
      </c>
    </row>
    <row r="13">
      <c r="A13" s="3" t="inlineStr">
        <is>
          <t>Other Revenue</t>
        </is>
      </c>
      <c r="B13" s="8" t="n">
        <v>800</v>
      </c>
      <c r="C13" s="8" t="n">
        <v>800</v>
      </c>
      <c r="D13" s="8" t="n">
        <v>800</v>
      </c>
      <c r="E13" s="8" t="n">
        <v>800</v>
      </c>
      <c r="F13" s="8" t="n">
        <v>800</v>
      </c>
      <c r="G13" s="8" t="n">
        <v>800</v>
      </c>
      <c r="H13" s="8" t="n">
        <v>800</v>
      </c>
      <c r="I13" s="8" t="n">
        <v>800</v>
      </c>
      <c r="J13" s="8" t="n">
        <v>800</v>
      </c>
      <c r="K13" s="8" t="n">
        <v>800</v>
      </c>
      <c r="L13" s="8" t="n">
        <v>800</v>
      </c>
      <c r="M13" s="8" t="n">
        <v>800</v>
      </c>
    </row>
    <row r="14">
      <c r="A14" s="5" t="inlineStr">
        <is>
          <t>TOTAL REVENUE</t>
        </is>
      </c>
      <c r="B14" s="10" t="n">
        <v>26300</v>
      </c>
      <c r="C14" s="10" t="n">
        <v>26950</v>
      </c>
      <c r="D14" s="10" t="n">
        <v>27730</v>
      </c>
      <c r="E14" s="10" t="n">
        <v>28510</v>
      </c>
      <c r="F14" s="10" t="n">
        <v>29420</v>
      </c>
      <c r="G14" s="10" t="n">
        <v>30330</v>
      </c>
      <c r="H14" s="10" t="n">
        <v>31370</v>
      </c>
      <c r="I14" s="10" t="n">
        <v>32410</v>
      </c>
      <c r="J14" s="10" t="n">
        <v>33580</v>
      </c>
      <c r="K14" s="10" t="n">
        <v>34750</v>
      </c>
      <c r="L14" s="10" t="n">
        <v>36050</v>
      </c>
      <c r="M14" s="10" t="n">
        <v>37350</v>
      </c>
    </row>
    <row r="15">
      <c r="A15" s="3" t="inlineStr"/>
    </row>
    <row r="16">
      <c r="A16" s="3" t="inlineStr">
        <is>
          <t>Total Expenses</t>
        </is>
      </c>
      <c r="B16" s="8" t="n">
        <v>25000</v>
      </c>
      <c r="C16" s="8" t="n">
        <v>25100</v>
      </c>
      <c r="D16" s="8" t="n">
        <v>25220</v>
      </c>
      <c r="E16" s="8" t="n">
        <v>25340</v>
      </c>
      <c r="F16" s="8" t="n">
        <v>25480</v>
      </c>
      <c r="G16" s="8" t="n">
        <v>25620</v>
      </c>
      <c r="H16" s="8" t="n">
        <v>25780</v>
      </c>
      <c r="I16" s="8" t="n">
        <v>25940</v>
      </c>
      <c r="J16" s="8" t="n">
        <v>26120</v>
      </c>
      <c r="K16" s="8" t="n">
        <v>26300</v>
      </c>
      <c r="L16" s="8" t="n">
        <v>26500</v>
      </c>
      <c r="M16" s="8" t="n">
        <v>26700</v>
      </c>
    </row>
    <row r="17">
      <c r="A17" s="5" t="inlineStr">
        <is>
          <t>NET PROFIT</t>
        </is>
      </c>
      <c r="B17" s="10" t="n">
        <v>1300</v>
      </c>
      <c r="C17" s="10" t="n">
        <v>1850</v>
      </c>
      <c r="D17" s="10" t="n">
        <v>2510</v>
      </c>
      <c r="E17" s="10" t="n">
        <v>3170</v>
      </c>
      <c r="F17" s="10" t="n">
        <v>3940</v>
      </c>
      <c r="G17" s="10" t="n">
        <v>4710</v>
      </c>
      <c r="H17" s="10" t="n">
        <v>5590</v>
      </c>
      <c r="I17" s="10" t="n">
        <v>6470</v>
      </c>
      <c r="J17" s="10" t="n">
        <v>7460</v>
      </c>
      <c r="K17" s="10" t="n">
        <v>8450</v>
      </c>
      <c r="L17" s="10" t="n">
        <v>9550</v>
      </c>
      <c r="M17" s="10" t="n">
        <v>10650</v>
      </c>
    </row>
    <row r="18">
      <c r="A18" s="3" t="inlineStr">
        <is>
          <t>Profit Margin %</t>
        </is>
      </c>
      <c r="B18" s="13" t="n">
        <v>0.04942965779467681</v>
      </c>
      <c r="C18" s="13" t="n">
        <v>0.06864564007421151</v>
      </c>
      <c r="D18" s="13" t="n">
        <v>0.09051568698160836</v>
      </c>
      <c r="E18" s="13" t="n">
        <v>0.1111890564714135</v>
      </c>
      <c r="F18" s="13" t="n">
        <v>0.1339225016995241</v>
      </c>
      <c r="G18" s="13" t="n">
        <v>0.1552917903066271</v>
      </c>
      <c r="H18" s="13" t="n">
        <v>0.1781957284029327</v>
      </c>
      <c r="I18" s="13" t="n">
        <v>0.1996297439062018</v>
      </c>
      <c r="J18" s="13" t="n">
        <v>0.2221560452650387</v>
      </c>
      <c r="K18" s="13" t="n">
        <v>0.2431654676258993</v>
      </c>
      <c r="L18" s="13" t="n">
        <v>0.2649098474341193</v>
      </c>
      <c r="M18" s="13" t="n">
        <v>0.285140562248996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</cols>
  <sheetData>
    <row r="1">
      <c r="A1" s="1" t="inlineStr">
        <is>
          <t>Key Metrics Dashboard</t>
        </is>
      </c>
    </row>
    <row r="3">
      <c r="A3" s="4" t="inlineStr">
        <is>
          <t>KPI</t>
        </is>
      </c>
      <c r="B3" s="4" t="inlineStr">
        <is>
          <t>Current Value</t>
        </is>
      </c>
      <c r="C3" s="4" t="inlineStr">
        <is>
          <t>Target</t>
        </is>
      </c>
      <c r="D3" s="4" t="inlineStr">
        <is>
          <t>Status</t>
        </is>
      </c>
    </row>
    <row r="4">
      <c r="A4" s="5" t="inlineStr">
        <is>
          <t>Total Doors Managed</t>
        </is>
      </c>
      <c r="B4" s="14" t="n">
        <v>235</v>
      </c>
      <c r="C4" s="6" t="n">
        <v>500</v>
      </c>
      <c r="D4" s="3" t="inlineStr">
        <is>
          <t>Needs Work</t>
        </is>
      </c>
    </row>
    <row r="5">
      <c r="A5" s="5" t="inlineStr">
        <is>
          <t>Monthly Revenue</t>
        </is>
      </c>
      <c r="B5" s="10" t="n">
        <v>37550</v>
      </c>
      <c r="C5" s="8" t="n">
        <v>65000</v>
      </c>
      <c r="D5" s="3" t="inlineStr">
        <is>
          <t>Needs Work</t>
        </is>
      </c>
    </row>
    <row r="6">
      <c r="A6" s="5" t="inlineStr">
        <is>
          <t>Monthly Expenses</t>
        </is>
      </c>
      <c r="B6" s="10" t="n">
        <v>26700</v>
      </c>
      <c r="C6" s="8" t="n">
        <v>30000</v>
      </c>
      <c r="D6" s="3" t="inlineStr">
        <is>
          <t>On Track</t>
        </is>
      </c>
    </row>
    <row r="7">
      <c r="A7" s="5" t="inlineStr">
        <is>
          <t>Monthly Net Profit</t>
        </is>
      </c>
      <c r="B7" s="10" t="n">
        <v>10850</v>
      </c>
      <c r="C7" s="8" t="n">
        <v>35000</v>
      </c>
      <c r="D7" s="3" t="inlineStr">
        <is>
          <t>Needs Work</t>
        </is>
      </c>
    </row>
    <row r="8">
      <c r="A8" s="5" t="inlineStr">
        <is>
          <t>Revenue Per Door</t>
        </is>
      </c>
      <c r="B8" s="10" t="n">
        <v>160</v>
      </c>
      <c r="C8" s="8" t="n">
        <v>130</v>
      </c>
      <c r="D8" s="3" t="inlineStr">
        <is>
          <t>On Track</t>
        </is>
      </c>
    </row>
    <row r="9">
      <c r="A9" s="5" t="inlineStr">
        <is>
          <t>Cost Per Door</t>
        </is>
      </c>
      <c r="B9" s="10" t="n">
        <v>114</v>
      </c>
      <c r="C9" s="8" t="n">
        <v>90</v>
      </c>
      <c r="D9" s="3" t="inlineStr">
        <is>
          <t>On Track</t>
        </is>
      </c>
    </row>
    <row r="10">
      <c r="A10" s="5" t="inlineStr">
        <is>
          <t>Profit Per Door</t>
        </is>
      </c>
      <c r="B10" s="10" t="n">
        <v>46</v>
      </c>
      <c r="C10" s="8" t="n">
        <v>40</v>
      </c>
      <c r="D10" s="3" t="inlineStr">
        <is>
          <t>On Track</t>
        </is>
      </c>
    </row>
    <row r="11">
      <c r="A11" s="5" t="inlineStr">
        <is>
          <t>Profit Margin</t>
        </is>
      </c>
      <c r="B11" s="15" t="n">
        <v>0.289</v>
      </c>
      <c r="C11" s="13" t="n">
        <v>0.35</v>
      </c>
      <c r="D11" s="3" t="inlineStr">
        <is>
          <t>On Track</t>
        </is>
      </c>
    </row>
    <row r="12">
      <c r="A12" s="5" t="inlineStr">
        <is>
          <t>Monthly Door Growth</t>
        </is>
      </c>
      <c r="B12" s="15" t="n">
        <v>0.04</v>
      </c>
      <c r="C12" s="13" t="n">
        <v>0.05</v>
      </c>
      <c r="D12" s="3" t="inlineStr">
        <is>
          <t>Needs Work</t>
        </is>
      </c>
    </row>
    <row r="13">
      <c r="A13" s="5" t="inlineStr">
        <is>
          <t>Annual Churn Rate</t>
        </is>
      </c>
      <c r="B13" s="15" t="n">
        <v>0.06</v>
      </c>
      <c r="C13" s="13" t="n">
        <v>0.05</v>
      </c>
      <c r="D13" s="3" t="inlineStr">
        <is>
          <t>On Track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2026-03-11T08:37:24Z</dcterms:created>
  <dcterms:modified xmlns:dcterms="http://purl.org/dc/terms/" xmlns:xsi="http://www.w3.org/2001/XMLSchema-instance" xsi:type="dcterms:W3CDTF">2026-03-11T08:37:24Z</dcterms:modified>
</cp:coreProperties>
</file>