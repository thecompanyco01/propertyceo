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thly Input" sheetId="2" state="visible" r:id="rId2"/>
    <sheet xmlns:r="http://schemas.openxmlformats.org/officeDocument/2006/relationships" name="Bench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b val="1"/>
      <color rgb="001A1A2E"/>
      <sz val="11"/>
    </font>
    <font>
      <name val="Calibri"/>
      <b val="1"/>
      <color rgb="00E94560"/>
      <sz val="11"/>
    </font>
    <font>
      <name val="Calibri"/>
      <color rgb="00CC0000"/>
    </font>
    <font>
      <name val="Calibri"/>
      <color rgb="00008800"/>
    </font>
    <font>
      <name val="Calibri"/>
      <b val="1"/>
      <color rgb="00006600"/>
    </font>
    <font>
      <name val="Calibri"/>
      <b val="1"/>
      <color rgb="00E9456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9E6"/>
        <bgColor rgb="00FFF9E6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2" fillId="3" borderId="1" pivotButton="0" quotePrefix="0" xfId="0"/>
    <xf numFmtId="3" fontId="5" fillId="4" borderId="1" pivotButton="0" quotePrefix="0" xfId="0"/>
    <xf numFmtId="164" fontId="2" fillId="3" borderId="1" pivotButton="0" quotePrefix="0" xfId="0"/>
    <xf numFmtId="164" fontId="5" fillId="4" borderId="1" pivotButton="0" quotePrefix="0" xfId="0"/>
    <xf numFmtId="165" fontId="2" fillId="3" borderId="1" pivotButton="0" quotePrefix="0" xfId="0"/>
    <xf numFmtId="165" fontId="5" fillId="4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2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PropertyCEO — KPI Dashboard Tracker</t>
        </is>
      </c>
    </row>
    <row r="3">
      <c r="A3" s="2" t="inlineStr">
        <is>
          <t>1. Enter your monthly KPIs in the 'Monthly Input' sheet (YELLOW cells)</t>
        </is>
      </c>
    </row>
    <row r="4">
      <c r="A4" s="2" t="inlineStr">
        <is>
          <t>2. The 'Benchmarks' sheet auto-scores your performance vs industry standards</t>
        </is>
      </c>
    </row>
    <row r="5">
      <c r="A5" s="2" t="inlineStr">
        <is>
          <t>3. Update monthly to track your growth trajectory</t>
        </is>
      </c>
    </row>
    <row r="6">
      <c r="A6" s="2" t="inlineStr"/>
    </row>
    <row r="7">
      <c r="A7" s="2" t="inlineStr">
        <is>
          <t>YELLOW = Input  |  GRAY = Calculated  |  © 2026 PropertyCEO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Monthly KPI Tracking</t>
        </is>
      </c>
    </row>
    <row r="3">
      <c r="A3" s="3" t="inlineStr">
        <is>
          <t>KPI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Aug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Dec</t>
        </is>
      </c>
    </row>
    <row r="4">
      <c r="A4" s="4" t="inlineStr">
        <is>
          <t>Total Doors Managed</t>
        </is>
      </c>
      <c r="B4" s="5" t="n">
        <v>150</v>
      </c>
      <c r="C4" s="5" t="n">
        <v>155</v>
      </c>
      <c r="D4" s="5" t="n">
        <v>161</v>
      </c>
      <c r="E4" s="5" t="n">
        <v>167</v>
      </c>
      <c r="F4" s="5" t="n">
        <v>174</v>
      </c>
      <c r="G4" s="5" t="n">
        <v>181</v>
      </c>
      <c r="H4" s="5" t="n">
        <v>189</v>
      </c>
      <c r="I4" s="5" t="n">
        <v>197</v>
      </c>
      <c r="J4" s="5" t="n">
        <v>206</v>
      </c>
      <c r="K4" s="5" t="n">
        <v>215</v>
      </c>
      <c r="L4" s="5" t="n">
        <v>225</v>
      </c>
      <c r="M4" s="5" t="n">
        <v>235</v>
      </c>
    </row>
    <row r="5">
      <c r="A5" s="4" t="inlineStr">
        <is>
          <t>New Doors Added</t>
        </is>
      </c>
      <c r="B5" s="5" t="n">
        <v>6</v>
      </c>
      <c r="C5" s="5" t="n">
        <v>7</v>
      </c>
      <c r="D5" s="5" t="n">
        <v>7</v>
      </c>
      <c r="E5" s="5" t="n">
        <v>7</v>
      </c>
      <c r="F5" s="5" t="n">
        <v>8</v>
      </c>
      <c r="G5" s="5" t="n">
        <v>8</v>
      </c>
      <c r="H5" s="5" t="n">
        <v>9</v>
      </c>
      <c r="I5" s="5" t="n">
        <v>9</v>
      </c>
      <c r="J5" s="5" t="n">
        <v>10</v>
      </c>
      <c r="K5" s="5" t="n">
        <v>10</v>
      </c>
      <c r="L5" s="5" t="n">
        <v>11</v>
      </c>
      <c r="M5" s="5" t="n">
        <v>11</v>
      </c>
    </row>
    <row r="6">
      <c r="A6" s="4" t="inlineStr">
        <is>
          <t>Doors Lost (Churn)</t>
        </is>
      </c>
      <c r="B6" s="5" t="n">
        <v>1</v>
      </c>
      <c r="C6" s="5" t="n">
        <v>1</v>
      </c>
      <c r="D6" s="5" t="n">
        <v>1</v>
      </c>
      <c r="E6" s="5" t="n">
        <v>1</v>
      </c>
      <c r="F6" s="5" t="n">
        <v>1</v>
      </c>
      <c r="G6" s="5" t="n">
        <v>1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</row>
    <row r="7">
      <c r="A7" s="4" t="inlineStr">
        <is>
          <t>Net Door Growth</t>
        </is>
      </c>
      <c r="B7" s="6">
        <f>B5-B6</f>
        <v/>
      </c>
      <c r="C7" s="6">
        <f>C5-C6</f>
        <v/>
      </c>
      <c r="D7" s="6">
        <f>D5-D6</f>
        <v/>
      </c>
      <c r="E7" s="6">
        <f>E5-E6</f>
        <v/>
      </c>
      <c r="F7" s="6">
        <f>F5-F6</f>
        <v/>
      </c>
      <c r="G7" s="6">
        <f>G5-G6</f>
        <v/>
      </c>
      <c r="H7" s="6">
        <f>H5-H6</f>
        <v/>
      </c>
      <c r="I7" s="6">
        <f>I5-I6</f>
        <v/>
      </c>
      <c r="J7" s="6">
        <f>J5-J6</f>
        <v/>
      </c>
      <c r="K7" s="6">
        <f>K5-K6</f>
        <v/>
      </c>
      <c r="L7" s="6">
        <f>L5-L6</f>
        <v/>
      </c>
      <c r="M7" s="6">
        <f>M5-M6</f>
        <v/>
      </c>
    </row>
    <row r="8">
      <c r="A8" s="4" t="inlineStr">
        <is>
          <t>Revenue (Total)</t>
        </is>
      </c>
      <c r="B8" s="7" t="n">
        <v>24800</v>
      </c>
      <c r="C8" s="7" t="n">
        <v>25450</v>
      </c>
      <c r="D8" s="7" t="n">
        <v>26300</v>
      </c>
      <c r="E8" s="7" t="n">
        <v>27200</v>
      </c>
      <c r="F8" s="7" t="n">
        <v>28350</v>
      </c>
      <c r="G8" s="7" t="n">
        <v>29500</v>
      </c>
      <c r="H8" s="7" t="n">
        <v>30800</v>
      </c>
      <c r="I8" s="7" t="n">
        <v>32100</v>
      </c>
      <c r="J8" s="7" t="n">
        <v>33600</v>
      </c>
      <c r="K8" s="7" t="n">
        <v>35100</v>
      </c>
      <c r="L8" s="7" t="n">
        <v>36750</v>
      </c>
      <c r="M8" s="7" t="n">
        <v>38400</v>
      </c>
    </row>
    <row r="9">
      <c r="A9" s="4" t="inlineStr">
        <is>
          <t>Revenue Per Door</t>
        </is>
      </c>
      <c r="B9" s="8">
        <f>B8/B4</f>
        <v/>
      </c>
      <c r="C9" s="8">
        <f>C8/C4</f>
        <v/>
      </c>
      <c r="D9" s="8">
        <f>D8/D4</f>
        <v/>
      </c>
      <c r="E9" s="8">
        <f>E8/E4</f>
        <v/>
      </c>
      <c r="F9" s="8">
        <f>F8/F4</f>
        <v/>
      </c>
      <c r="G9" s="8">
        <f>G8/G4</f>
        <v/>
      </c>
      <c r="H9" s="8">
        <f>H8/H4</f>
        <v/>
      </c>
      <c r="I9" s="8">
        <f>I8/I4</f>
        <v/>
      </c>
      <c r="J9" s="8">
        <f>J8/J4</f>
        <v/>
      </c>
      <c r="K9" s="8">
        <f>K8/K4</f>
        <v/>
      </c>
      <c r="L9" s="8">
        <f>L8/L4</f>
        <v/>
      </c>
      <c r="M9" s="8">
        <f>M8/M4</f>
        <v/>
      </c>
    </row>
    <row r="10">
      <c r="A10" s="4" t="inlineStr">
        <is>
          <t>Avg Days to Lease</t>
        </is>
      </c>
      <c r="B10" s="5" t="n">
        <v>28</v>
      </c>
      <c r="C10" s="5" t="n">
        <v>26</v>
      </c>
      <c r="D10" s="5" t="n">
        <v>24</v>
      </c>
      <c r="E10" s="5" t="n">
        <v>22</v>
      </c>
      <c r="F10" s="5" t="n">
        <v>21</v>
      </c>
      <c r="G10" s="5" t="n">
        <v>20</v>
      </c>
      <c r="H10" s="5" t="n">
        <v>19</v>
      </c>
      <c r="I10" s="5" t="n">
        <v>18</v>
      </c>
      <c r="J10" s="5" t="n">
        <v>18</v>
      </c>
      <c r="K10" s="5" t="n">
        <v>17</v>
      </c>
      <c r="L10" s="5" t="n">
        <v>17</v>
      </c>
      <c r="M10" s="5" t="n">
        <v>16</v>
      </c>
    </row>
    <row r="11">
      <c r="A11" s="4" t="inlineStr">
        <is>
          <t>Vacancy Rate %</t>
        </is>
      </c>
      <c r="B11" s="9" t="n">
        <v>0.06</v>
      </c>
      <c r="C11" s="9" t="n">
        <v>0.055</v>
      </c>
      <c r="D11" s="9" t="n">
        <v>0.05</v>
      </c>
      <c r="E11" s="9" t="n">
        <v>0.048</v>
      </c>
      <c r="F11" s="9" t="n">
        <v>0.045</v>
      </c>
      <c r="G11" s="9" t="n">
        <v>0.042</v>
      </c>
      <c r="H11" s="9" t="n">
        <v>0.04</v>
      </c>
      <c r="I11" s="9" t="n">
        <v>0.038</v>
      </c>
      <c r="J11" s="9" t="n">
        <v>0.035</v>
      </c>
      <c r="K11" s="9" t="n">
        <v>0.033</v>
      </c>
      <c r="L11" s="9" t="n">
        <v>0.03</v>
      </c>
      <c r="M11" s="9" t="n">
        <v>0.028</v>
      </c>
    </row>
    <row r="12">
      <c r="A12" s="4" t="inlineStr">
        <is>
          <t>Rent Collection Rate %</t>
        </is>
      </c>
      <c r="B12" s="9" t="n">
        <v>0.96</v>
      </c>
      <c r="C12" s="9" t="n">
        <v>0.965</v>
      </c>
      <c r="D12" s="9" t="n">
        <v>0.97</v>
      </c>
      <c r="E12" s="9" t="n">
        <v>0.975</v>
      </c>
      <c r="F12" s="9" t="n">
        <v>0.98</v>
      </c>
      <c r="G12" s="9" t="n">
        <v>0.982</v>
      </c>
      <c r="H12" s="9" t="n">
        <v>0.985</v>
      </c>
      <c r="I12" s="9" t="n">
        <v>0.988</v>
      </c>
      <c r="J12" s="9" t="n">
        <v>0.99</v>
      </c>
      <c r="K12" s="9" t="n">
        <v>0.992</v>
      </c>
      <c r="L12" s="9" t="n">
        <v>0.995</v>
      </c>
      <c r="M12" s="9" t="n">
        <v>0.997</v>
      </c>
    </row>
    <row r="13">
      <c r="A13" s="4" t="inlineStr">
        <is>
          <t>Maint. Response Time (hrs)</t>
        </is>
      </c>
      <c r="B13" s="5" t="n">
        <v>36</v>
      </c>
      <c r="C13" s="5" t="n">
        <v>32</v>
      </c>
      <c r="D13" s="5" t="n">
        <v>28</v>
      </c>
      <c r="E13" s="5" t="n">
        <v>24</v>
      </c>
      <c r="F13" s="5" t="n">
        <v>22</v>
      </c>
      <c r="G13" s="5" t="n">
        <v>20</v>
      </c>
      <c r="H13" s="5" t="n">
        <v>18</v>
      </c>
      <c r="I13" s="5" t="n">
        <v>16</v>
      </c>
      <c r="J13" s="5" t="n">
        <v>14</v>
      </c>
      <c r="K13" s="5" t="n">
        <v>12</v>
      </c>
      <c r="L13" s="5" t="n">
        <v>10</v>
      </c>
      <c r="M13" s="5" t="n">
        <v>8</v>
      </c>
    </row>
    <row r="14">
      <c r="A14" s="4" t="inlineStr">
        <is>
          <t>Maint. Cost Per Door</t>
        </is>
      </c>
      <c r="B14" s="7" t="n">
        <v>55</v>
      </c>
      <c r="C14" s="7" t="n">
        <v>52</v>
      </c>
      <c r="D14" s="7" t="n">
        <v>50</v>
      </c>
      <c r="E14" s="7" t="n">
        <v>48</v>
      </c>
      <c r="F14" s="7" t="n">
        <v>47</v>
      </c>
      <c r="G14" s="7" t="n">
        <v>46</v>
      </c>
      <c r="H14" s="7" t="n">
        <v>45</v>
      </c>
      <c r="I14" s="7" t="n">
        <v>44</v>
      </c>
      <c r="J14" s="7" t="n">
        <v>43</v>
      </c>
      <c r="K14" s="7" t="n">
        <v>42</v>
      </c>
      <c r="L14" s="7" t="n">
        <v>41</v>
      </c>
      <c r="M14" s="7" t="n">
        <v>40</v>
      </c>
    </row>
    <row r="15">
      <c r="A15" s="4" t="inlineStr">
        <is>
          <t>Owner NPS</t>
        </is>
      </c>
      <c r="B15" s="5" t="n">
        <v>30</v>
      </c>
      <c r="C15" s="5" t="n">
        <v>35</v>
      </c>
      <c r="D15" s="5" t="n">
        <v>40</v>
      </c>
      <c r="E15" s="5" t="n">
        <v>45</v>
      </c>
      <c r="F15" s="5" t="n">
        <v>50</v>
      </c>
      <c r="G15" s="5" t="n">
        <v>55</v>
      </c>
      <c r="H15" s="5" t="n">
        <v>58</v>
      </c>
      <c r="I15" s="5" t="n">
        <v>60</v>
      </c>
      <c r="J15" s="5" t="n">
        <v>62</v>
      </c>
      <c r="K15" s="5" t="n">
        <v>65</v>
      </c>
      <c r="L15" s="5" t="n">
        <v>68</v>
      </c>
      <c r="M15" s="5" t="n">
        <v>70</v>
      </c>
    </row>
    <row r="16">
      <c r="A16" s="4" t="inlineStr">
        <is>
          <t>Operating Expenses</t>
        </is>
      </c>
      <c r="B16" s="7" t="n">
        <v>25000</v>
      </c>
      <c r="C16" s="7" t="n">
        <v>25100</v>
      </c>
      <c r="D16" s="7" t="n">
        <v>25300</v>
      </c>
      <c r="E16" s="7" t="n">
        <v>25500</v>
      </c>
      <c r="F16" s="7" t="n">
        <v>25800</v>
      </c>
      <c r="G16" s="7" t="n">
        <v>26100</v>
      </c>
      <c r="H16" s="7" t="n">
        <v>26500</v>
      </c>
      <c r="I16" s="7" t="n">
        <v>26900</v>
      </c>
      <c r="J16" s="7" t="n">
        <v>27400</v>
      </c>
      <c r="K16" s="7" t="n">
        <v>27900</v>
      </c>
      <c r="L16" s="7" t="n">
        <v>28500</v>
      </c>
      <c r="M16" s="7" t="n">
        <v>29100</v>
      </c>
    </row>
    <row r="17">
      <c r="A17" s="4" t="inlineStr">
        <is>
          <t>Net Profit</t>
        </is>
      </c>
      <c r="B17" s="8">
        <f>B12-B16</f>
        <v/>
      </c>
      <c r="C17" s="8">
        <f>C12-C16</f>
        <v/>
      </c>
      <c r="D17" s="8">
        <f>D12-D16</f>
        <v/>
      </c>
      <c r="E17" s="8">
        <f>E12-E16</f>
        <v/>
      </c>
      <c r="F17" s="8">
        <f>F12-F16</f>
        <v/>
      </c>
      <c r="G17" s="8">
        <f>G12-G16</f>
        <v/>
      </c>
      <c r="H17" s="8">
        <f>H12-H16</f>
        <v/>
      </c>
      <c r="I17" s="8">
        <f>I12-I16</f>
        <v/>
      </c>
      <c r="J17" s="8">
        <f>J12-J16</f>
        <v/>
      </c>
      <c r="K17" s="8">
        <f>K12-K16</f>
        <v/>
      </c>
      <c r="L17" s="8">
        <f>L12-L16</f>
        <v/>
      </c>
      <c r="M17" s="8">
        <f>M12-M16</f>
        <v/>
      </c>
    </row>
    <row r="18">
      <c r="A18" s="4" t="inlineStr">
        <is>
          <t>Profit Margin %</t>
        </is>
      </c>
      <c r="B18" s="10">
        <f>B17/B12</f>
        <v/>
      </c>
      <c r="C18" s="10">
        <f>C17/C12</f>
        <v/>
      </c>
      <c r="D18" s="10">
        <f>D17/D12</f>
        <v/>
      </c>
      <c r="E18" s="10">
        <f>E17/E12</f>
        <v/>
      </c>
      <c r="F18" s="10">
        <f>F17/F12</f>
        <v/>
      </c>
      <c r="G18" s="10">
        <f>G17/G12</f>
        <v/>
      </c>
      <c r="H18" s="10">
        <f>H17/H12</f>
        <v/>
      </c>
      <c r="I18" s="10">
        <f>I17/I12</f>
        <v/>
      </c>
      <c r="J18" s="10">
        <f>J17/J12</f>
        <v/>
      </c>
      <c r="K18" s="10">
        <f>K17/K12</f>
        <v/>
      </c>
      <c r="L18" s="10">
        <f>L17/L12</f>
        <v/>
      </c>
      <c r="M18" s="10">
        <f>M17/M12</f>
        <v/>
      </c>
    </row>
    <row r="19">
      <c r="A19" s="4" t="inlineStr">
        <is>
          <t>Cash Position</t>
        </is>
      </c>
      <c r="B19" s="7" t="n">
        <v>15000</v>
      </c>
      <c r="C19" s="7" t="n">
        <v>16200</v>
      </c>
      <c r="D19" s="7" t="n">
        <v>17600</v>
      </c>
      <c r="E19" s="7" t="n">
        <v>19200</v>
      </c>
      <c r="F19" s="7" t="n">
        <v>21100</v>
      </c>
      <c r="G19" s="7" t="n">
        <v>23200</v>
      </c>
      <c r="H19" s="7" t="n">
        <v>25500</v>
      </c>
      <c r="I19" s="7" t="n">
        <v>28100</v>
      </c>
      <c r="J19" s="7" t="n">
        <v>31000</v>
      </c>
      <c r="K19" s="7" t="n">
        <v>34200</v>
      </c>
      <c r="L19" s="7" t="n">
        <v>37700</v>
      </c>
      <c r="M19" s="7" t="n">
        <v>41500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KPI Benchmarks — Industry Standards</t>
        </is>
      </c>
    </row>
    <row r="3">
      <c r="A3" s="3" t="inlineStr">
        <is>
          <t>KPI</t>
        </is>
      </c>
      <c r="B3" s="3" t="inlineStr">
        <is>
          <t>Poor</t>
        </is>
      </c>
      <c r="C3" s="3" t="inlineStr">
        <is>
          <t>Average</t>
        </is>
      </c>
      <c r="D3" s="3" t="inlineStr">
        <is>
          <t>Good</t>
        </is>
      </c>
      <c r="E3" s="3" t="inlineStr">
        <is>
          <t>Excellent</t>
        </is>
      </c>
      <c r="F3" s="3" t="inlineStr">
        <is>
          <t>Your Latest</t>
        </is>
      </c>
    </row>
    <row r="4">
      <c r="A4" s="11" t="inlineStr">
        <is>
          <t>Revenue Per Door (monthly)</t>
        </is>
      </c>
      <c r="B4" s="12" t="inlineStr">
        <is>
          <t>&lt;$80</t>
        </is>
      </c>
      <c r="C4" s="13" t="inlineStr">
        <is>
          <t>$80-$120</t>
        </is>
      </c>
      <c r="D4" s="14" t="inlineStr">
        <is>
          <t>$120-$160</t>
        </is>
      </c>
      <c r="E4" s="15" t="inlineStr">
        <is>
          <t>&gt;$160</t>
        </is>
      </c>
      <c r="F4" s="16" t="inlineStr">
        <is>
          <t>$163</t>
        </is>
      </c>
    </row>
    <row r="5">
      <c r="A5" s="11" t="inlineStr">
        <is>
          <t>Days to Lease</t>
        </is>
      </c>
      <c r="B5" s="12" t="inlineStr">
        <is>
          <t>&gt;45</t>
        </is>
      </c>
      <c r="C5" s="13" t="inlineStr">
        <is>
          <t>30-45</t>
        </is>
      </c>
      <c r="D5" s="14" t="inlineStr">
        <is>
          <t>15-30</t>
        </is>
      </c>
      <c r="E5" s="15" t="inlineStr">
        <is>
          <t>&lt;15</t>
        </is>
      </c>
      <c r="F5" s="16" t="inlineStr">
        <is>
          <t>16</t>
        </is>
      </c>
    </row>
    <row r="6">
      <c r="A6" s="11" t="inlineStr">
        <is>
          <t>Vacancy Rate</t>
        </is>
      </c>
      <c r="B6" s="12" t="inlineStr">
        <is>
          <t>&gt;8%</t>
        </is>
      </c>
      <c r="C6" s="13" t="inlineStr">
        <is>
          <t>5-8%</t>
        </is>
      </c>
      <c r="D6" s="14" t="inlineStr">
        <is>
          <t>3-5%</t>
        </is>
      </c>
      <c r="E6" s="15" t="inlineStr">
        <is>
          <t>&lt;3%</t>
        </is>
      </c>
      <c r="F6" s="16" t="inlineStr">
        <is>
          <t>2.8%</t>
        </is>
      </c>
    </row>
    <row r="7">
      <c r="A7" s="11" t="inlineStr">
        <is>
          <t>Rent Collection Rate</t>
        </is>
      </c>
      <c r="B7" s="12" t="inlineStr">
        <is>
          <t>&lt;95%</t>
        </is>
      </c>
      <c r="C7" s="13" t="inlineStr">
        <is>
          <t>95-97%</t>
        </is>
      </c>
      <c r="D7" s="14" t="inlineStr">
        <is>
          <t>97-99%</t>
        </is>
      </c>
      <c r="E7" s="15" t="inlineStr">
        <is>
          <t>&gt;99%</t>
        </is>
      </c>
      <c r="F7" s="16" t="inlineStr">
        <is>
          <t>99.7%</t>
        </is>
      </c>
    </row>
    <row r="8">
      <c r="A8" s="11" t="inlineStr">
        <is>
          <t>Maint. Response (hrs)</t>
        </is>
      </c>
      <c r="B8" s="12" t="inlineStr">
        <is>
          <t>&gt;48</t>
        </is>
      </c>
      <c r="C8" s="13" t="inlineStr">
        <is>
          <t>24-48</t>
        </is>
      </c>
      <c r="D8" s="14" t="inlineStr">
        <is>
          <t>4-24</t>
        </is>
      </c>
      <c r="E8" s="15" t="inlineStr">
        <is>
          <t>&lt;4</t>
        </is>
      </c>
      <c r="F8" s="16" t="inlineStr">
        <is>
          <t>8</t>
        </is>
      </c>
    </row>
    <row r="9">
      <c r="A9" s="11" t="inlineStr">
        <is>
          <t>Owner Retention</t>
        </is>
      </c>
      <c r="B9" s="12" t="inlineStr">
        <is>
          <t>&lt;80%</t>
        </is>
      </c>
      <c r="C9" s="13" t="inlineStr">
        <is>
          <t>80-90%</t>
        </is>
      </c>
      <c r="D9" s="14" t="inlineStr">
        <is>
          <t>90-95%</t>
        </is>
      </c>
      <c r="E9" s="15" t="inlineStr">
        <is>
          <t>&gt;95%</t>
        </is>
      </c>
      <c r="F9" s="16" t="inlineStr">
        <is>
          <t>95%</t>
        </is>
      </c>
    </row>
    <row r="10">
      <c r="A10" s="11" t="inlineStr">
        <is>
          <t>Profit Margin</t>
        </is>
      </c>
      <c r="B10" s="12" t="inlineStr">
        <is>
          <t>&lt;15%</t>
        </is>
      </c>
      <c r="C10" s="13" t="inlineStr">
        <is>
          <t>15-25%</t>
        </is>
      </c>
      <c r="D10" s="14" t="inlineStr">
        <is>
          <t>25-35%</t>
        </is>
      </c>
      <c r="E10" s="15" t="inlineStr">
        <is>
          <t>&gt;35%</t>
        </is>
      </c>
      <c r="F10" s="16" t="inlineStr">
        <is>
          <t>28.9%</t>
        </is>
      </c>
    </row>
    <row r="11">
      <c r="A11" s="11" t="inlineStr">
        <is>
          <t>Monthly Door Growth</t>
        </is>
      </c>
      <c r="B11" s="12" t="inlineStr">
        <is>
          <t>&lt;2%</t>
        </is>
      </c>
      <c r="C11" s="13" t="inlineStr">
        <is>
          <t>2-4%</t>
        </is>
      </c>
      <c r="D11" s="14" t="inlineStr">
        <is>
          <t>4-6%</t>
        </is>
      </c>
      <c r="E11" s="15" t="inlineStr">
        <is>
          <t>&gt;6%</t>
        </is>
      </c>
      <c r="F11" s="16" t="inlineStr">
        <is>
          <t>4.7%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2026-03-11T08:37:24Z</dcterms:created>
  <dcterms:modified xmlns:dcterms="http://purl.org/dc/terms/" xmlns:xsi="http://www.w3.org/2001/XMLSchema-instance" xsi:type="dcterms:W3CDTF">2026-03-11T08:37:24Z</dcterms:modified>
</cp:coreProperties>
</file>